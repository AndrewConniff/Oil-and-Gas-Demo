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bottom style="thin">
        <color rgb="00D9EA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Site</t>
        </is>
      </c>
      <c r="B1" s="1" t="inlineStr">
        <is>
          <t>Region</t>
        </is>
      </c>
      <c r="C1" s="1" t="inlineStr">
        <is>
          <t>Readiness Score</t>
        </is>
      </c>
      <c r="D1" s="1" t="inlineStr">
        <is>
          <t>Maintenance Backlog</t>
        </is>
      </c>
      <c r="E1" s="1" t="inlineStr">
        <is>
          <t>Safety Observations</t>
        </is>
      </c>
      <c r="F1" s="1" t="inlineStr">
        <is>
          <t>Adoption Score</t>
        </is>
      </c>
      <c r="G1" s="1" t="inlineStr">
        <is>
          <t>Priority Formula</t>
        </is>
      </c>
    </row>
    <row r="2">
      <c r="A2" s="2" t="inlineStr">
        <is>
          <t>Bakken Field Office</t>
        </is>
      </c>
      <c r="B2" s="2" t="inlineStr">
        <is>
          <t>North</t>
        </is>
      </c>
      <c r="C2" s="2" t="n">
        <v>72</v>
      </c>
      <c r="D2" s="2" t="n">
        <v>18</v>
      </c>
      <c r="E2" s="2" t="n">
        <v>4</v>
      </c>
      <c r="F2" s="2" t="n">
        <v>61</v>
      </c>
      <c r="G2" s="2">
        <f>IF(OR(C2&lt;70,D2&gt;20,E2&gt;5),"High",IF(OR(C2&lt;78,D2&gt;14),"Medium","Low"))</f>
        <v/>
      </c>
    </row>
    <row r="3">
      <c r="A3" s="2" t="inlineStr">
        <is>
          <t>Eagle Ford Field Office</t>
        </is>
      </c>
      <c r="B3" s="2" t="inlineStr">
        <is>
          <t>South</t>
        </is>
      </c>
      <c r="C3" s="2" t="n">
        <v>81</v>
      </c>
      <c r="D3" s="2" t="n">
        <v>11</v>
      </c>
      <c r="E3" s="2" t="n">
        <v>2</v>
      </c>
      <c r="F3" s="2" t="n">
        <v>70</v>
      </c>
      <c r="G3" s="2">
        <f>IF(OR(C3&lt;70,D3&gt;20,E3&gt;5),"High",IF(OR(C3&lt;78,D3&gt;14),"Medium","Low"))</f>
        <v/>
      </c>
    </row>
    <row r="4">
      <c r="A4" s="2" t="inlineStr">
        <is>
          <t>Permian Support Hub</t>
        </is>
      </c>
      <c r="B4" s="2" t="inlineStr">
        <is>
          <t>West</t>
        </is>
      </c>
      <c r="C4" s="2" t="n">
        <v>68</v>
      </c>
      <c r="D4" s="2" t="n">
        <v>24</v>
      </c>
      <c r="E4" s="2" t="n">
        <v>6</v>
      </c>
      <c r="F4" s="2" t="n">
        <v>58</v>
      </c>
      <c r="G4" s="2">
        <f>IF(OR(C4&lt;70,D4&gt;20,E4&gt;5),"High",IF(OR(C4&lt;78,D4&gt;14),"Medium","Low"))</f>
        <v/>
      </c>
    </row>
    <row r="5">
      <c r="A5" s="2" t="inlineStr">
        <is>
          <t>Gulf Coast Operations</t>
        </is>
      </c>
      <c r="B5" s="2" t="inlineStr">
        <is>
          <t>South</t>
        </is>
      </c>
      <c r="C5" s="2" t="n">
        <v>76</v>
      </c>
      <c r="D5" s="2" t="n">
        <v>15</v>
      </c>
      <c r="E5" s="2" t="n">
        <v>3</v>
      </c>
      <c r="F5" s="2" t="n">
        <v>64</v>
      </c>
      <c r="G5" s="2">
        <f>IF(OR(C5&lt;70,D5&gt;20,E5&gt;5),"High",IF(OR(C5&lt;78,D5&gt;14),"Medium","Low"))</f>
        <v/>
      </c>
    </row>
    <row r="6">
      <c r="A6" s="2" t="inlineStr">
        <is>
          <t>Rocky Mountain Service Yard</t>
        </is>
      </c>
      <c r="B6" s="2" t="inlineStr">
        <is>
          <t>West</t>
        </is>
      </c>
      <c r="C6" s="2" t="n">
        <v>83</v>
      </c>
      <c r="D6" s="2" t="n">
        <v>9</v>
      </c>
      <c r="E6" s="2" t="n">
        <v>1</v>
      </c>
      <c r="F6" s="2" t="n">
        <v>73</v>
      </c>
      <c r="G6" s="2">
        <f>IF(OR(C6&lt;70,D6&gt;20,E6&gt;5),"High",IF(OR(C6&lt;78,D6&gt;14),"Medium","Low"))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3" t="inlineStr">
        <is>
          <t>Classification: Public</t>
        </is>
      </c>
      <c r="B1" s="3" t="n"/>
    </row>
    <row r="2">
      <c r="A2" s="3" t="n"/>
      <c r="B2" s="3" t="n"/>
    </row>
    <row r="3">
      <c r="A3" s="4" t="inlineStr">
        <is>
          <t>Metric</t>
        </is>
      </c>
      <c r="B3" s="4" t="inlineStr">
        <is>
          <t>Formula</t>
        </is>
      </c>
    </row>
    <row r="4">
      <c r="A4" s="3" t="inlineStr">
        <is>
          <t>Average Readiness Score</t>
        </is>
      </c>
      <c r="B4" s="3">
        <f>AVERAGE('Field Data'!C2:C6)</f>
        <v/>
      </c>
    </row>
    <row r="5">
      <c r="A5" s="3" t="inlineStr">
        <is>
          <t>Total Maintenance Backlog</t>
        </is>
      </c>
      <c r="B5" s="3">
        <f>SUM('Field Data'!D2:D6)</f>
        <v/>
      </c>
    </row>
    <row r="6">
      <c r="A6" s="3" t="inlineStr">
        <is>
          <t>Total Safety Observations</t>
        </is>
      </c>
      <c r="B6" s="3">
        <f>SUM('Field Data'!E2:E6)</f>
        <v/>
      </c>
    </row>
    <row r="7">
      <c r="A7" s="3" t="inlineStr">
        <is>
          <t>Average Adoption Score</t>
        </is>
      </c>
      <c r="B7" s="3">
        <f>AVERAGE('Field Data'!F2:F6)</f>
        <v/>
      </c>
    </row>
    <row r="8">
      <c r="A8" s="3" t="inlineStr">
        <is>
          <t>High Priority Count</t>
        </is>
      </c>
      <c r="B8" s="3">
        <f>COUNTIF('Field Data'!G2:G6,"High")</f>
        <v/>
      </c>
    </row>
    <row r="9">
      <c r="A9" s="3" t="n"/>
      <c r="B9" s="3" t="n"/>
    </row>
    <row r="10">
      <c r="A10" s="3" t="n"/>
      <c r="B10" s="3" t="n"/>
    </row>
    <row r="11">
      <c r="A11" s="3" t="inlineStr">
        <is>
          <t>Copilot in Excel prompt</t>
        </is>
      </c>
      <c r="B11" s="3" t="inlineStr">
        <is>
          <t>Analyze the Field Data table and explain which fictional sites need leadership attention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2026-08-03T18:18:03Z</dcterms:created>
  <dcterms:modified xmlns:dcterms="http://purl.org/dc/terms/" xmlns:xsi="http://www.w3.org/2001/XMLSchema-instance" xsi:type="dcterms:W3CDTF">2026-08-03T18:18:03Z</dcterms:modified>
</cp:coreProperties>
</file>